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pcus1-my.sharepoint.com/personal/jm46961_america_gds_panasonic_com/Documents/ACTIVOS FIJOS/"/>
    </mc:Choice>
  </mc:AlternateContent>
  <xr:revisionPtr revIDLastSave="0" documentId="8_{B93249AB-3909-4778-97B4-7DFF708B79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J16" i="1" l="1"/>
  <c r="S16" i="1" s="1"/>
  <c r="J17" i="1"/>
  <c r="S17" i="1" s="1"/>
  <c r="J15" i="1"/>
  <c r="S15" i="1" s="1"/>
  <c r="R17" i="1"/>
  <c r="N17" i="1"/>
  <c r="M17" i="1"/>
  <c r="R16" i="1"/>
  <c r="N16" i="1"/>
  <c r="M16" i="1"/>
  <c r="R15" i="1"/>
  <c r="N15" i="1"/>
  <c r="M15" i="1"/>
  <c r="R3" i="1"/>
  <c r="S3" i="1"/>
  <c r="R4" i="1"/>
  <c r="S4" i="1"/>
  <c r="R5" i="1"/>
  <c r="S5" i="1"/>
  <c r="R8" i="1"/>
  <c r="S8" i="1"/>
  <c r="R9" i="1"/>
  <c r="S9" i="1"/>
  <c r="R10" i="1"/>
  <c r="S10" i="1"/>
  <c r="R11" i="1"/>
  <c r="S11" i="1"/>
  <c r="R14" i="1"/>
  <c r="S14" i="1"/>
  <c r="R2" i="1"/>
  <c r="S2" i="1"/>
  <c r="O17" i="1" l="1"/>
  <c r="P17" i="1" s="1"/>
  <c r="Q17" i="1" s="1"/>
  <c r="O15" i="1"/>
  <c r="P15" i="1" s="1"/>
  <c r="O16" i="1"/>
  <c r="M3" i="1"/>
  <c r="N3" i="1"/>
  <c r="M4" i="1"/>
  <c r="N4" i="1"/>
  <c r="M5" i="1"/>
  <c r="N5" i="1"/>
  <c r="M8" i="1"/>
  <c r="N8" i="1"/>
  <c r="M9" i="1"/>
  <c r="N9" i="1"/>
  <c r="M10" i="1"/>
  <c r="N10" i="1"/>
  <c r="M11" i="1"/>
  <c r="N11" i="1"/>
  <c r="M14" i="1"/>
  <c r="N14" i="1"/>
  <c r="N2" i="1"/>
  <c r="M2" i="1"/>
  <c r="U17" i="1" l="1"/>
  <c r="T17" i="1"/>
  <c r="V17" i="1"/>
  <c r="X17" i="1" s="1"/>
  <c r="W17" i="1"/>
  <c r="Y17" i="1" s="1"/>
  <c r="T15" i="1"/>
  <c r="Q15" i="1"/>
  <c r="W15" i="1"/>
  <c r="Y15" i="1" s="1"/>
  <c r="V15" i="1"/>
  <c r="X15" i="1" s="1"/>
  <c r="U15" i="1"/>
  <c r="P16" i="1"/>
  <c r="U16" i="1"/>
  <c r="T16" i="1"/>
  <c r="O2" i="1"/>
  <c r="O11" i="1"/>
  <c r="O4" i="1"/>
  <c r="O10" i="1"/>
  <c r="O8" i="1"/>
  <c r="O3" i="1"/>
  <c r="O9" i="1"/>
  <c r="O14" i="1"/>
  <c r="O5" i="1"/>
  <c r="V16" i="1" l="1"/>
  <c r="X16" i="1" s="1"/>
  <c r="Q16" i="1"/>
  <c r="W16" i="1"/>
  <c r="Y16" i="1" s="1"/>
  <c r="P10" i="1"/>
  <c r="Q10" i="1" s="1"/>
  <c r="T10" i="1"/>
  <c r="U10" i="1"/>
  <c r="P14" i="1"/>
  <c r="Q14" i="1" s="1"/>
  <c r="U14" i="1"/>
  <c r="U18" i="1" s="1"/>
  <c r="T14" i="1"/>
  <c r="T18" i="1" s="1"/>
  <c r="P9" i="1"/>
  <c r="Q9" i="1" s="1"/>
  <c r="T9" i="1"/>
  <c r="U9" i="1"/>
  <c r="P3" i="1"/>
  <c r="T3" i="1"/>
  <c r="U3" i="1"/>
  <c r="U8" i="1"/>
  <c r="T8" i="1"/>
  <c r="P4" i="1"/>
  <c r="T4" i="1"/>
  <c r="U4" i="1"/>
  <c r="P11" i="1"/>
  <c r="T11" i="1"/>
  <c r="U11" i="1"/>
  <c r="T5" i="1"/>
  <c r="U5" i="1"/>
  <c r="T2" i="1"/>
  <c r="U2" i="1"/>
  <c r="P8" i="1"/>
  <c r="P2" i="1"/>
  <c r="P5" i="1"/>
  <c r="T12" i="1" l="1"/>
  <c r="T6" i="1"/>
  <c r="U12" i="1"/>
  <c r="U22" i="1" s="1"/>
  <c r="V25" i="1" s="1"/>
  <c r="U23" i="1"/>
  <c r="V26" i="1"/>
  <c r="U6" i="1"/>
  <c r="U21" i="1" s="1"/>
  <c r="V3" i="1"/>
  <c r="X3" i="1" s="1"/>
  <c r="W3" i="1"/>
  <c r="Y3" i="1" s="1"/>
  <c r="V9" i="1"/>
  <c r="X9" i="1" s="1"/>
  <c r="W9" i="1"/>
  <c r="Y9" i="1" s="1"/>
  <c r="Q8" i="1"/>
  <c r="V8" i="1"/>
  <c r="W8" i="1"/>
  <c r="Q4" i="1"/>
  <c r="V4" i="1"/>
  <c r="X4" i="1" s="1"/>
  <c r="W4" i="1"/>
  <c r="Y4" i="1" s="1"/>
  <c r="W5" i="1"/>
  <c r="Y5" i="1" s="1"/>
  <c r="V5" i="1"/>
  <c r="X5" i="1" s="1"/>
  <c r="W14" i="1"/>
  <c r="V14" i="1"/>
  <c r="Q11" i="1"/>
  <c r="V11" i="1"/>
  <c r="X11" i="1" s="1"/>
  <c r="W11" i="1"/>
  <c r="Y11" i="1" s="1"/>
  <c r="W2" i="1"/>
  <c r="V2" i="1"/>
  <c r="W10" i="1"/>
  <c r="Y10" i="1" s="1"/>
  <c r="V10" i="1"/>
  <c r="X10" i="1" s="1"/>
  <c r="Q3" i="1"/>
  <c r="Q2" i="1"/>
  <c r="Q5" i="1"/>
  <c r="V6" i="1" l="1"/>
  <c r="W6" i="1"/>
  <c r="V28" i="1"/>
  <c r="U28" i="1"/>
  <c r="Y8" i="1"/>
  <c r="Y12" i="1" s="1"/>
  <c r="W12" i="1"/>
  <c r="X14" i="1"/>
  <c r="X18" i="1" s="1"/>
  <c r="V18" i="1"/>
  <c r="X8" i="1"/>
  <c r="X12" i="1" s="1"/>
  <c r="V12" i="1"/>
  <c r="Y14" i="1"/>
  <c r="Y18" i="1" s="1"/>
  <c r="W18" i="1"/>
  <c r="X2" i="1"/>
  <c r="X6" i="1" s="1"/>
  <c r="Y2" i="1"/>
  <c r="Y6" i="1" s="1"/>
</calcChain>
</file>

<file path=xl/sharedStrings.xml><?xml version="1.0" encoding="utf-8"?>
<sst xmlns="http://schemas.openxmlformats.org/spreadsheetml/2006/main" count="88" uniqueCount="44">
  <si>
    <t>Gap</t>
  </si>
  <si>
    <t>Colones</t>
  </si>
  <si>
    <t>Dolares</t>
  </si>
  <si>
    <t>Vida 
Util</t>
  </si>
  <si>
    <t>Fecha 
Compra</t>
  </si>
  <si>
    <t>Total
 Cuotas</t>
  </si>
  <si>
    <t>Cuota
Consumidas</t>
  </si>
  <si>
    <t>Cuota 
Depreciadas</t>
  </si>
  <si>
    <t>Cuota 
Pendientes</t>
  </si>
  <si>
    <t>Valor 
rescate CRC</t>
  </si>
  <si>
    <t>Valor 
rescate USD</t>
  </si>
  <si>
    <t>Depreciacion 
del mes USD</t>
  </si>
  <si>
    <t>Depreciacion 
del mes CRC</t>
  </si>
  <si>
    <t>Depreciacion 
Acumulada USD</t>
  </si>
  <si>
    <t>Depreciacion 
Acumulada CRC</t>
  </si>
  <si>
    <t>Valor en Libros USD</t>
  </si>
  <si>
    <t>Valor en 
Libros CRC</t>
  </si>
  <si>
    <t>Depreciacion 
x mes USD</t>
  </si>
  <si>
    <t>Depreciacion 
x mes CRC</t>
  </si>
  <si>
    <t>CTA</t>
  </si>
  <si>
    <t>ACTIVO FIJO</t>
  </si>
  <si>
    <t xml:space="preserve"> EQUIPO COMPUTO</t>
  </si>
  <si>
    <t>EDIFICIOS</t>
  </si>
  <si>
    <t>MOBILIARIO GENERAL</t>
  </si>
  <si>
    <t>DEP ACUMULADA</t>
  </si>
  <si>
    <t>GTO</t>
  </si>
  <si>
    <t>DETALLE</t>
  </si>
  <si>
    <t>Computadora 1</t>
  </si>
  <si>
    <t>Computadora 2</t>
  </si>
  <si>
    <t>Pantalla</t>
  </si>
  <si>
    <t>Servidor</t>
  </si>
  <si>
    <t>Oficina</t>
  </si>
  <si>
    <t>Bodega</t>
  </si>
  <si>
    <t>Planta</t>
  </si>
  <si>
    <t>Sillas</t>
  </si>
  <si>
    <t>Escritorio</t>
  </si>
  <si>
    <t>Mueble</t>
  </si>
  <si>
    <t>Sillones</t>
  </si>
  <si>
    <t>Subtotal</t>
  </si>
  <si>
    <t>GASTO
+</t>
  </si>
  <si>
    <t>DEP ACM
-</t>
  </si>
  <si>
    <t>DEBE</t>
  </si>
  <si>
    <t>HABER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</si>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</sst>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₡&quot;* #,##0.00_-;\-&quot;₡&quot;* #,##0.00_-;_-&quot;₡&quot;* &quot;-&quot;??_-;_-@_-"/>
    <numFmt numFmtId="43" formatCode="_-* #,##0.00_-;\-* #,##0.00_-;_-* &quot;-&quot;??_-;_-@_-"/>
    <numFmt numFmtId="164" formatCode="dd/mm/yyyy;@"/>
    <numFmt numFmtId="165" formatCode="_-* #,##0.0_-;\-* #,##0.0_-;_-* &quot;-&quot;??_-;_-@_-"/>
    <numFmt numFmtId="166" formatCode="_-* #,##0_-;\-* #,##0_-;_-* &quot;-&quot;??_-;_-@_-"/>
    <numFmt numFmtId="167" formatCode="0.0"/>
    <numFmt numFmtId="168" formatCode="_-[$$-409]* #,##0.00_ ;_-[$$-409]* \-#,##0.00\ ;_-[$$-409]* &quot;-&quot;??_ ;_-@_ "/>
    <numFmt numFmtId="169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43" fontId="0" fillId="0" borderId="0" xfId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  <xf numFmtId="14" fontId="2" fillId="2" borderId="0" xfId="0" applyNumberFormat="1" applyFont="1" applyFill="1" applyAlignment="1">
      <alignment horizontal="center" vertical="center"/>
    </xf>
    <xf numFmtId="164" fontId="0" fillId="0" borderId="0" xfId="0" applyNumberFormat="1" applyBorder="1"/>
    <xf numFmtId="0" fontId="0" fillId="3" borderId="0" xfId="0" applyFill="1"/>
    <xf numFmtId="166" fontId="0" fillId="3" borderId="0" xfId="1" applyNumberFormat="1" applyFont="1" applyFill="1"/>
    <xf numFmtId="43" fontId="0" fillId="4" borderId="0" xfId="1" applyFont="1" applyFill="1"/>
    <xf numFmtId="44" fontId="0" fillId="0" borderId="0" xfId="0" applyNumberFormat="1"/>
    <xf numFmtId="44" fontId="0" fillId="6" borderId="0" xfId="1" applyNumberFormat="1" applyFont="1" applyFill="1"/>
    <xf numFmtId="44" fontId="0" fillId="7" borderId="0" xfId="0" applyNumberFormat="1" applyFill="1"/>
    <xf numFmtId="44" fontId="0" fillId="5" borderId="0" xfId="0" applyNumberFormat="1" applyFill="1"/>
    <xf numFmtId="44" fontId="0" fillId="0" borderId="0" xfId="1" applyNumberFormat="1" applyFont="1"/>
    <xf numFmtId="168" fontId="0" fillId="0" borderId="0" xfId="0" applyNumberFormat="1"/>
    <xf numFmtId="168" fontId="0" fillId="6" borderId="0" xfId="0" applyNumberFormat="1" applyFill="1"/>
    <xf numFmtId="168" fontId="0" fillId="7" borderId="0" xfId="0" applyNumberFormat="1" applyFill="1"/>
    <xf numFmtId="168" fontId="0" fillId="5" borderId="0" xfId="0" applyNumberFormat="1" applyFill="1"/>
    <xf numFmtId="168" fontId="0" fillId="0" borderId="0" xfId="1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44" fontId="2" fillId="6" borderId="0" xfId="0" applyNumberFormat="1" applyFont="1" applyFill="1" applyAlignment="1">
      <alignment horizontal="center" vertical="center" wrapText="1"/>
    </xf>
    <xf numFmtId="168" fontId="2" fillId="6" borderId="0" xfId="0" applyNumberFormat="1" applyFont="1" applyFill="1" applyAlignment="1">
      <alignment horizontal="center" vertical="center" wrapText="1"/>
    </xf>
    <xf numFmtId="44" fontId="2" fillId="7" borderId="0" xfId="0" applyNumberFormat="1" applyFont="1" applyFill="1" applyAlignment="1">
      <alignment horizontal="center" vertical="center" wrapText="1"/>
    </xf>
    <xf numFmtId="168" fontId="2" fillId="7" borderId="0" xfId="0" applyNumberFormat="1" applyFont="1" applyFill="1" applyAlignment="1">
      <alignment horizontal="center" vertical="center" wrapText="1"/>
    </xf>
    <xf numFmtId="44" fontId="2" fillId="5" borderId="0" xfId="0" applyNumberFormat="1" applyFont="1" applyFill="1" applyAlignment="1">
      <alignment horizontal="center" vertical="center" wrapText="1"/>
    </xf>
    <xf numFmtId="168" fontId="2" fillId="5" borderId="0" xfId="0" applyNumberFormat="1" applyFont="1" applyFill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43" fontId="0" fillId="4" borderId="0" xfId="0" applyNumberFormat="1" applyFill="1"/>
    <xf numFmtId="168" fontId="2" fillId="4" borderId="0" xfId="0" applyNumberFormat="1" applyFont="1" applyFill="1" applyAlignment="1">
      <alignment horizontal="center" vertical="center" wrapText="1"/>
    </xf>
    <xf numFmtId="44" fontId="0" fillId="4" borderId="0" xfId="1" applyNumberFormat="1" applyFont="1" applyFill="1"/>
    <xf numFmtId="168" fontId="0" fillId="4" borderId="0" xfId="0" applyNumberFormat="1" applyFill="1"/>
    <xf numFmtId="169" fontId="2" fillId="4" borderId="0" xfId="0" applyNumberFormat="1" applyFont="1" applyFill="1" applyAlignment="1">
      <alignment horizontal="center" vertical="center"/>
    </xf>
    <xf numFmtId="169" fontId="0" fillId="4" borderId="0" xfId="1" applyNumberFormat="1" applyFont="1" applyFill="1"/>
    <xf numFmtId="169" fontId="0" fillId="0" borderId="0" xfId="0" applyNumberFormat="1"/>
    <xf numFmtId="43" fontId="0" fillId="0" borderId="0" xfId="0" applyNumberFormat="1"/>
    <xf numFmtId="44" fontId="0" fillId="8" borderId="0" xfId="1" applyNumberFormat="1" applyFont="1" applyFill="1"/>
    <xf numFmtId="168" fontId="0" fillId="8" borderId="0" xfId="0" applyNumberFormat="1" applyFill="1"/>
    <xf numFmtId="44" fontId="0" fillId="8" borderId="0" xfId="0" applyNumberFormat="1" applyFill="1"/>
    <xf numFmtId="44" fontId="0" fillId="0" borderId="1" xfId="0" applyNumberFormat="1" applyBorder="1" applyAlignment="1">
      <alignment horizontal="center" vertical="center" wrapText="1"/>
    </xf>
    <xf numFmtId="0" fontId="0" fillId="0" borderId="2" xfId="0" applyBorder="1"/>
    <xf numFmtId="168" fontId="0" fillId="0" borderId="2" xfId="0" applyNumberFormat="1" applyBorder="1"/>
    <xf numFmtId="44" fontId="0" fillId="0" borderId="3" xfId="0" applyNumberFormat="1" applyBorder="1"/>
    <xf numFmtId="44" fontId="0" fillId="0" borderId="4" xfId="0" applyNumberFormat="1" applyBorder="1" applyAlignment="1">
      <alignment horizontal="center" vertical="center"/>
    </xf>
    <xf numFmtId="0" fontId="0" fillId="0" borderId="0" xfId="0" applyBorder="1"/>
    <xf numFmtId="168" fontId="0" fillId="0" borderId="0" xfId="0" applyNumberFormat="1" applyBorder="1"/>
    <xf numFmtId="44" fontId="0" fillId="0" borderId="5" xfId="0" applyNumberFormat="1" applyBorder="1"/>
    <xf numFmtId="44" fontId="0" fillId="0" borderId="4" xfId="0" applyNumberFormat="1" applyBorder="1" applyAlignment="1">
      <alignment horizontal="center" vertical="center" wrapText="1"/>
    </xf>
    <xf numFmtId="168" fontId="0" fillId="0" borderId="5" xfId="0" applyNumberFormat="1" applyBorder="1"/>
    <xf numFmtId="44" fontId="0" fillId="0" borderId="6" xfId="0" applyNumberFormat="1" applyBorder="1"/>
    <xf numFmtId="168" fontId="0" fillId="0" borderId="7" xfId="0" applyNumberFormat="1" applyBorder="1"/>
    <xf numFmtId="44" fontId="0" fillId="0" borderId="7" xfId="0" applyNumberFormat="1" applyBorder="1"/>
    <xf numFmtId="44" fontId="0" fillId="0" borderId="8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topLeftCell="F1" zoomScale="80" zoomScaleNormal="80" workbookViewId="0">
      <selection activeCell="K4" sqref="K4"/>
    </sheetView>
  </sheetViews>
  <sheetFormatPr baseColWidth="10" defaultColWidth="8.88671875" defaultRowHeight="14.4" x14ac:dyDescent="0.3"/>
  <cols>
    <col min="1" max="1" width="3.33203125" bestFit="1" customWidth="1"/>
    <col min="2" max="2" width="9.5546875" bestFit="1" customWidth="1"/>
    <col min="3" max="3" width="19.21875" customWidth="1"/>
    <col min="4" max="4" width="11" customWidth="1"/>
    <col min="5" max="5" width="21.109375" bestFit="1" customWidth="1"/>
    <col min="6" max="6" width="9.5546875" bestFit="1" customWidth="1"/>
    <col min="7" max="7" width="21.109375" bestFit="1" customWidth="1"/>
    <col min="8" max="8" width="16.109375" customWidth="1"/>
    <col min="9" max="9" width="14.5546875" bestFit="1" customWidth="1"/>
    <col min="10" max="10" width="11" bestFit="1" customWidth="1"/>
    <col min="11" max="11" width="11.21875" bestFit="1" customWidth="1"/>
    <col min="12" max="12" width="5.5546875" bestFit="1" customWidth="1"/>
    <col min="13" max="13" width="11" bestFit="1" customWidth="1"/>
    <col min="14" max="14" width="12.77734375" bestFit="1" customWidth="1"/>
    <col min="15" max="15" width="8.33203125" style="39" bestFit="1" customWidth="1"/>
    <col min="16" max="16" width="13.21875" bestFit="1" customWidth="1"/>
    <col min="17" max="17" width="11.88671875" bestFit="1" customWidth="1"/>
    <col min="18" max="18" width="14.109375" style="10" bestFit="1" customWidth="1"/>
    <col min="19" max="19" width="14.109375" style="15" bestFit="1" customWidth="1"/>
    <col min="20" max="20" width="21.109375" style="10" bestFit="1" customWidth="1"/>
    <col min="21" max="21" width="15.5546875" style="15" customWidth="1"/>
    <col min="22" max="22" width="15.5546875" style="10" bestFit="1" customWidth="1"/>
    <col min="23" max="23" width="16.109375" style="15" bestFit="1" customWidth="1"/>
    <col min="24" max="24" width="15.5546875" style="10" bestFit="1" customWidth="1"/>
    <col min="25" max="25" width="13.5546875" style="15" bestFit="1" customWidth="1"/>
    <col min="26" max="26" width="11.88671875" style="10" bestFit="1" customWidth="1"/>
    <col min="27" max="27" width="12.44140625" style="15" bestFit="1" customWidth="1"/>
    <col min="28" max="28" width="11.21875" bestFit="1" customWidth="1"/>
    <col min="30" max="30" width="10.5546875" bestFit="1" customWidth="1"/>
  </cols>
  <sheetData>
    <row r="1" spans="1:30" s="20" customFormat="1" ht="28.8" x14ac:dyDescent="0.3">
      <c r="B1" s="21" t="s">
        <v>19</v>
      </c>
      <c r="C1" s="20" t="s">
        <v>20</v>
      </c>
      <c r="D1" s="21" t="s">
        <v>19</v>
      </c>
      <c r="E1" s="20" t="s">
        <v>25</v>
      </c>
      <c r="F1" s="21" t="s">
        <v>19</v>
      </c>
      <c r="G1" s="20" t="s">
        <v>24</v>
      </c>
      <c r="H1" s="20" t="s">
        <v>26</v>
      </c>
      <c r="I1" s="21" t="s">
        <v>1</v>
      </c>
      <c r="J1" s="21" t="s">
        <v>2</v>
      </c>
      <c r="K1" s="22" t="s">
        <v>4</v>
      </c>
      <c r="L1" s="23" t="s">
        <v>3</v>
      </c>
      <c r="M1" s="23" t="s">
        <v>5</v>
      </c>
      <c r="N1" s="24" t="s">
        <v>6</v>
      </c>
      <c r="O1" s="37" t="s">
        <v>0</v>
      </c>
      <c r="P1" s="24" t="s">
        <v>7</v>
      </c>
      <c r="Q1" s="24" t="s">
        <v>8</v>
      </c>
      <c r="R1" s="34" t="s">
        <v>18</v>
      </c>
      <c r="S1" s="34" t="s">
        <v>17</v>
      </c>
      <c r="T1" s="25" t="s">
        <v>12</v>
      </c>
      <c r="U1" s="26" t="s">
        <v>11</v>
      </c>
      <c r="V1" s="27" t="s">
        <v>14</v>
      </c>
      <c r="W1" s="28" t="s">
        <v>13</v>
      </c>
      <c r="X1" s="29" t="s">
        <v>16</v>
      </c>
      <c r="Y1" s="30" t="s">
        <v>15</v>
      </c>
      <c r="Z1" s="31" t="s">
        <v>9</v>
      </c>
      <c r="AA1" s="32" t="s">
        <v>10</v>
      </c>
      <c r="AB1" s="5">
        <v>45503</v>
      </c>
    </row>
    <row r="2" spans="1:30" x14ac:dyDescent="0.3">
      <c r="A2">
        <v>1</v>
      </c>
      <c r="B2">
        <v>10050001</v>
      </c>
      <c r="C2" t="s">
        <v>21</v>
      </c>
      <c r="D2">
        <v>54310003</v>
      </c>
      <c r="E2" t="s">
        <v>21</v>
      </c>
      <c r="F2">
        <v>10310007</v>
      </c>
      <c r="G2" t="s">
        <v>21</v>
      </c>
      <c r="H2" t="s">
        <v>27</v>
      </c>
      <c r="I2" s="1">
        <v>11412901.5</v>
      </c>
      <c r="J2" s="1">
        <v>20750.73</v>
      </c>
      <c r="K2" s="6">
        <v>27760</v>
      </c>
      <c r="L2" s="7">
        <v>5</v>
      </c>
      <c r="M2" s="8">
        <f>+L2*12</f>
        <v>60</v>
      </c>
      <c r="N2" s="9">
        <f t="shared" ref="N2:N14" si="0">ROUND((DAYS360(K2,$AB$1,)/360*12),0)</f>
        <v>583</v>
      </c>
      <c r="O2" s="38">
        <f>+M2-N2</f>
        <v>-523</v>
      </c>
      <c r="P2" s="9">
        <f>IF(O2&gt;0,N2,M2)</f>
        <v>60</v>
      </c>
      <c r="Q2" s="33">
        <f>+M2-P2</f>
        <v>0</v>
      </c>
      <c r="R2" s="35">
        <f>(I2-Z2)/L2/12</f>
        <v>190215.00833333333</v>
      </c>
      <c r="S2" s="36">
        <f>(J2-AA2)/L2/12</f>
        <v>345.84533333333337</v>
      </c>
      <c r="T2" s="11">
        <f>IF(O2&gt;-1,R2,0)</f>
        <v>0</v>
      </c>
      <c r="U2" s="16">
        <f>IF(O2&gt;-1,S2,0)</f>
        <v>0</v>
      </c>
      <c r="V2" s="12">
        <f>+R2*P2</f>
        <v>11412900.5</v>
      </c>
      <c r="W2" s="17">
        <f>+S2*P2</f>
        <v>20750.72</v>
      </c>
      <c r="X2" s="13">
        <f>+I2-V2</f>
        <v>1</v>
      </c>
      <c r="Y2" s="18">
        <f>+J2-W2</f>
        <v>9.9999999983992893E-3</v>
      </c>
      <c r="Z2" s="14">
        <v>1</v>
      </c>
      <c r="AA2" s="19">
        <v>0.01</v>
      </c>
      <c r="AB2" s="2"/>
      <c r="AD2" s="3"/>
    </row>
    <row r="3" spans="1:30" x14ac:dyDescent="0.3">
      <c r="A3">
        <v>2</v>
      </c>
      <c r="B3">
        <v>10050001</v>
      </c>
      <c r="C3" t="s">
        <v>21</v>
      </c>
      <c r="D3">
        <v>54310003</v>
      </c>
      <c r="E3" t="s">
        <v>21</v>
      </c>
      <c r="F3">
        <v>10310007</v>
      </c>
      <c r="G3" t="s">
        <v>21</v>
      </c>
      <c r="H3" t="s">
        <v>28</v>
      </c>
      <c r="I3" s="1">
        <v>11725604</v>
      </c>
      <c r="J3" s="1">
        <v>21319.279999999999</v>
      </c>
      <c r="K3" s="6">
        <v>29587</v>
      </c>
      <c r="L3" s="7">
        <v>5</v>
      </c>
      <c r="M3" s="8">
        <f t="shared" ref="M3:M14" si="1">+L3*12</f>
        <v>60</v>
      </c>
      <c r="N3" s="9">
        <f t="shared" si="0"/>
        <v>523</v>
      </c>
      <c r="O3" s="38">
        <f t="shared" ref="O3:O14" si="2">+M3-N3</f>
        <v>-463</v>
      </c>
      <c r="P3" s="9">
        <f t="shared" ref="P3:P14" si="3">IF(O3&gt;0,N3,M3)</f>
        <v>60</v>
      </c>
      <c r="Q3" s="33">
        <f t="shared" ref="Q3:Q14" si="4">+M3-P3</f>
        <v>0</v>
      </c>
      <c r="R3" s="35">
        <f t="shared" ref="R3:R14" si="5">(I3-Z3)/L3/12</f>
        <v>195426.71666666667</v>
      </c>
      <c r="S3" s="36">
        <f t="shared" ref="S3:S14" si="6">(J3-AA3)/L3/12</f>
        <v>355.32116666666667</v>
      </c>
      <c r="T3" s="11">
        <f t="shared" ref="T3:T14" si="7">IF(O3&gt;-1,R3,0)</f>
        <v>0</v>
      </c>
      <c r="U3" s="16">
        <f t="shared" ref="U3:U14" si="8">IF(O3&gt;-1,S3,0)</f>
        <v>0</v>
      </c>
      <c r="V3" s="12">
        <f t="shared" ref="V3:V14" si="9">+R3*P3</f>
        <v>11725603</v>
      </c>
      <c r="W3" s="17">
        <f t="shared" ref="W3:W14" si="10">+S3*P3</f>
        <v>21319.27</v>
      </c>
      <c r="X3" s="13">
        <f t="shared" ref="X3:X14" si="11">+I3-V3</f>
        <v>1</v>
      </c>
      <c r="Y3" s="18">
        <f t="shared" ref="Y3:Y14" si="12">+J3-W3</f>
        <v>9.9999999983992893E-3</v>
      </c>
      <c r="Z3" s="14">
        <v>1</v>
      </c>
      <c r="AA3" s="19">
        <v>0.01</v>
      </c>
      <c r="AB3" s="4"/>
    </row>
    <row r="4" spans="1:30" x14ac:dyDescent="0.3">
      <c r="A4">
        <v>3</v>
      </c>
      <c r="B4">
        <v>10050001</v>
      </c>
      <c r="C4" t="s">
        <v>21</v>
      </c>
      <c r="D4">
        <v>54310003</v>
      </c>
      <c r="E4" t="s">
        <v>21</v>
      </c>
      <c r="F4">
        <v>10310007</v>
      </c>
      <c r="G4" t="s">
        <v>21</v>
      </c>
      <c r="H4" t="s">
        <v>29</v>
      </c>
      <c r="I4" s="1">
        <v>5258000</v>
      </c>
      <c r="J4" s="1">
        <v>9560</v>
      </c>
      <c r="K4" s="6">
        <v>45016</v>
      </c>
      <c r="L4" s="7">
        <v>5</v>
      </c>
      <c r="M4" s="8">
        <f t="shared" si="1"/>
        <v>60</v>
      </c>
      <c r="N4" s="9">
        <f t="shared" si="0"/>
        <v>16</v>
      </c>
      <c r="O4" s="38">
        <f t="shared" si="2"/>
        <v>44</v>
      </c>
      <c r="P4" s="9">
        <f t="shared" si="3"/>
        <v>16</v>
      </c>
      <c r="Q4" s="33">
        <f t="shared" si="4"/>
        <v>44</v>
      </c>
      <c r="R4" s="35">
        <f t="shared" si="5"/>
        <v>87633.316666666666</v>
      </c>
      <c r="S4" s="36">
        <f t="shared" si="6"/>
        <v>159.33316666666667</v>
      </c>
      <c r="T4" s="11">
        <f t="shared" si="7"/>
        <v>87633.316666666666</v>
      </c>
      <c r="U4" s="16">
        <f t="shared" si="8"/>
        <v>159.33316666666667</v>
      </c>
      <c r="V4" s="12">
        <f t="shared" si="9"/>
        <v>1402133.0666666667</v>
      </c>
      <c r="W4" s="17">
        <f t="shared" si="10"/>
        <v>2549.3306666666667</v>
      </c>
      <c r="X4" s="13">
        <f t="shared" si="11"/>
        <v>3855866.9333333336</v>
      </c>
      <c r="Y4" s="18">
        <f t="shared" si="12"/>
        <v>7010.6693333333333</v>
      </c>
      <c r="Z4" s="14">
        <v>1</v>
      </c>
      <c r="AA4" s="19">
        <v>0.01</v>
      </c>
    </row>
    <row r="5" spans="1:30" x14ac:dyDescent="0.3">
      <c r="A5">
        <v>4</v>
      </c>
      <c r="B5">
        <v>10050001</v>
      </c>
      <c r="C5" t="s">
        <v>21</v>
      </c>
      <c r="D5">
        <v>54310003</v>
      </c>
      <c r="E5" t="s">
        <v>21</v>
      </c>
      <c r="F5">
        <v>10310007</v>
      </c>
      <c r="G5" t="s">
        <v>21</v>
      </c>
      <c r="H5" t="s">
        <v>30</v>
      </c>
      <c r="I5" s="1">
        <v>11725521.5</v>
      </c>
      <c r="J5" s="1">
        <v>21319.13</v>
      </c>
      <c r="K5" s="6">
        <v>40422</v>
      </c>
      <c r="L5" s="7">
        <v>5</v>
      </c>
      <c r="M5" s="8">
        <f t="shared" si="1"/>
        <v>60</v>
      </c>
      <c r="N5" s="9">
        <f t="shared" si="0"/>
        <v>167</v>
      </c>
      <c r="O5" s="38">
        <f t="shared" si="2"/>
        <v>-107</v>
      </c>
      <c r="P5" s="9">
        <f t="shared" si="3"/>
        <v>60</v>
      </c>
      <c r="Q5" s="33">
        <f t="shared" si="4"/>
        <v>0</v>
      </c>
      <c r="R5" s="35">
        <f t="shared" si="5"/>
        <v>195425.34166666667</v>
      </c>
      <c r="S5" s="36">
        <f t="shared" si="6"/>
        <v>355.31866666666673</v>
      </c>
      <c r="T5" s="11">
        <f t="shared" si="7"/>
        <v>0</v>
      </c>
      <c r="U5" s="16">
        <f t="shared" si="8"/>
        <v>0</v>
      </c>
      <c r="V5" s="12">
        <f t="shared" si="9"/>
        <v>11725520.5</v>
      </c>
      <c r="W5" s="17">
        <f t="shared" si="10"/>
        <v>21319.120000000003</v>
      </c>
      <c r="X5" s="13">
        <f t="shared" si="11"/>
        <v>1</v>
      </c>
      <c r="Y5" s="18">
        <f t="shared" si="12"/>
        <v>9.9999999983992893E-3</v>
      </c>
      <c r="Z5" s="14">
        <v>1</v>
      </c>
      <c r="AA5" s="19">
        <v>0.01</v>
      </c>
    </row>
    <row r="6" spans="1:30" x14ac:dyDescent="0.3">
      <c r="I6" s="1"/>
      <c r="J6" s="1"/>
      <c r="K6" s="6"/>
      <c r="L6" s="7"/>
      <c r="M6" s="8"/>
      <c r="N6" s="9"/>
      <c r="O6" s="38"/>
      <c r="P6" s="9"/>
      <c r="Q6" s="33"/>
      <c r="R6" s="35"/>
      <c r="S6" s="42" t="s">
        <v>38</v>
      </c>
      <c r="T6" s="41">
        <f>SUM(T2:T5)</f>
        <v>87633.316666666666</v>
      </c>
      <c r="U6" s="42">
        <f t="shared" ref="U6:Y6" si="13">SUM(U2:U5)</f>
        <v>159.33316666666667</v>
      </c>
      <c r="V6" s="43">
        <f t="shared" si="13"/>
        <v>36266157.066666663</v>
      </c>
      <c r="W6" s="42">
        <f t="shared" si="13"/>
        <v>65938.440666666676</v>
      </c>
      <c r="X6" s="43">
        <f t="shared" si="13"/>
        <v>3855869.9333333336</v>
      </c>
      <c r="Y6" s="42">
        <f t="shared" si="13"/>
        <v>7010.6993333333285</v>
      </c>
      <c r="Z6" s="14"/>
      <c r="AA6" s="19"/>
    </row>
    <row r="7" spans="1:30" x14ac:dyDescent="0.3">
      <c r="I7" s="1"/>
      <c r="J7" s="1"/>
      <c r="K7" s="6"/>
      <c r="L7" s="7"/>
      <c r="M7" s="8"/>
      <c r="N7" s="9"/>
      <c r="O7" s="38"/>
      <c r="P7" s="9"/>
      <c r="Q7" s="33"/>
      <c r="R7" s="35"/>
      <c r="S7" s="36"/>
      <c r="T7" s="11"/>
      <c r="U7" s="16"/>
      <c r="V7" s="12"/>
      <c r="W7" s="17"/>
      <c r="X7" s="13"/>
      <c r="Y7" s="18"/>
      <c r="Z7" s="14"/>
      <c r="AA7" s="19"/>
    </row>
    <row r="8" spans="1:30" x14ac:dyDescent="0.3">
      <c r="A8">
        <v>5</v>
      </c>
      <c r="B8">
        <v>10010000</v>
      </c>
      <c r="C8" t="s">
        <v>22</v>
      </c>
      <c r="D8">
        <v>54310001</v>
      </c>
      <c r="E8" t="s">
        <v>22</v>
      </c>
      <c r="F8">
        <v>10310001</v>
      </c>
      <c r="G8" t="s">
        <v>22</v>
      </c>
      <c r="H8" t="s">
        <v>31</v>
      </c>
      <c r="I8" s="1">
        <v>54643259</v>
      </c>
      <c r="J8" s="1">
        <v>99351.38</v>
      </c>
      <c r="K8" s="6">
        <v>29465</v>
      </c>
      <c r="L8" s="7">
        <v>50</v>
      </c>
      <c r="M8" s="8">
        <f t="shared" si="1"/>
        <v>600</v>
      </c>
      <c r="N8" s="9">
        <f t="shared" si="0"/>
        <v>527</v>
      </c>
      <c r="O8" s="38">
        <f t="shared" si="2"/>
        <v>73</v>
      </c>
      <c r="P8" s="9">
        <f t="shared" si="3"/>
        <v>527</v>
      </c>
      <c r="Q8" s="33">
        <f t="shared" si="4"/>
        <v>73</v>
      </c>
      <c r="R8" s="35">
        <f t="shared" si="5"/>
        <v>91072.096666666665</v>
      </c>
      <c r="S8" s="36">
        <f t="shared" si="6"/>
        <v>165.58561666666668</v>
      </c>
      <c r="T8" s="11">
        <f t="shared" si="7"/>
        <v>91072.096666666665</v>
      </c>
      <c r="U8" s="16">
        <f t="shared" si="8"/>
        <v>165.58561666666668</v>
      </c>
      <c r="V8" s="12">
        <f t="shared" si="9"/>
        <v>47994994.943333335</v>
      </c>
      <c r="W8" s="17">
        <f t="shared" si="10"/>
        <v>87263.619983333338</v>
      </c>
      <c r="X8" s="13">
        <f t="shared" si="11"/>
        <v>6648264.0566666648</v>
      </c>
      <c r="Y8" s="18">
        <f t="shared" si="12"/>
        <v>12087.760016666667</v>
      </c>
      <c r="Z8" s="14">
        <v>1</v>
      </c>
      <c r="AA8" s="19">
        <v>0.01</v>
      </c>
    </row>
    <row r="9" spans="1:30" x14ac:dyDescent="0.3">
      <c r="A9">
        <v>6</v>
      </c>
      <c r="B9">
        <v>10010000</v>
      </c>
      <c r="C9" t="s">
        <v>22</v>
      </c>
      <c r="D9">
        <v>54310001</v>
      </c>
      <c r="E9" t="s">
        <v>22</v>
      </c>
      <c r="F9">
        <v>10310001</v>
      </c>
      <c r="G9" t="s">
        <v>22</v>
      </c>
      <c r="H9" t="s">
        <v>32</v>
      </c>
      <c r="I9" s="1">
        <v>4400000</v>
      </c>
      <c r="J9" s="1">
        <v>8000</v>
      </c>
      <c r="K9" s="6">
        <v>43707</v>
      </c>
      <c r="L9" s="7">
        <v>50</v>
      </c>
      <c r="M9" s="8">
        <f t="shared" si="1"/>
        <v>600</v>
      </c>
      <c r="N9" s="9">
        <f t="shared" si="0"/>
        <v>59</v>
      </c>
      <c r="O9" s="38">
        <f t="shared" si="2"/>
        <v>541</v>
      </c>
      <c r="P9" s="9">
        <f t="shared" si="3"/>
        <v>59</v>
      </c>
      <c r="Q9" s="33">
        <f t="shared" si="4"/>
        <v>541</v>
      </c>
      <c r="R9" s="35">
        <f t="shared" si="5"/>
        <v>7333.331666666666</v>
      </c>
      <c r="S9" s="36">
        <f t="shared" si="6"/>
        <v>13.333316666666667</v>
      </c>
      <c r="T9" s="11">
        <f t="shared" si="7"/>
        <v>7333.331666666666</v>
      </c>
      <c r="U9" s="16">
        <f t="shared" si="8"/>
        <v>13.333316666666667</v>
      </c>
      <c r="V9" s="12">
        <f t="shared" si="9"/>
        <v>432666.5683333333</v>
      </c>
      <c r="W9" s="17">
        <f t="shared" si="10"/>
        <v>786.66568333333339</v>
      </c>
      <c r="X9" s="13">
        <f t="shared" si="11"/>
        <v>3967333.4316666666</v>
      </c>
      <c r="Y9" s="18">
        <f t="shared" si="12"/>
        <v>7213.3343166666664</v>
      </c>
      <c r="Z9" s="14">
        <v>1</v>
      </c>
      <c r="AA9" s="19">
        <v>0.01</v>
      </c>
    </row>
    <row r="10" spans="1:30" x14ac:dyDescent="0.3">
      <c r="A10">
        <v>7</v>
      </c>
      <c r="B10">
        <v>10010000</v>
      </c>
      <c r="C10" t="s">
        <v>22</v>
      </c>
      <c r="D10">
        <v>54310001</v>
      </c>
      <c r="E10" t="s">
        <v>22</v>
      </c>
      <c r="F10">
        <v>10310001</v>
      </c>
      <c r="G10" t="s">
        <v>22</v>
      </c>
      <c r="H10" t="s">
        <v>33</v>
      </c>
      <c r="I10" s="1">
        <v>6293496</v>
      </c>
      <c r="J10" s="1">
        <v>11442.72</v>
      </c>
      <c r="K10" s="6">
        <v>43707</v>
      </c>
      <c r="L10" s="7">
        <v>50</v>
      </c>
      <c r="M10" s="8">
        <f t="shared" si="1"/>
        <v>600</v>
      </c>
      <c r="N10" s="9">
        <f t="shared" si="0"/>
        <v>59</v>
      </c>
      <c r="O10" s="38">
        <f t="shared" si="2"/>
        <v>541</v>
      </c>
      <c r="P10" s="9">
        <f t="shared" si="3"/>
        <v>59</v>
      </c>
      <c r="Q10" s="33">
        <f t="shared" si="4"/>
        <v>541</v>
      </c>
      <c r="R10" s="35">
        <f t="shared" si="5"/>
        <v>10489.158333333333</v>
      </c>
      <c r="S10" s="36">
        <f t="shared" si="6"/>
        <v>19.071183333333334</v>
      </c>
      <c r="T10" s="11">
        <f t="shared" si="7"/>
        <v>10489.158333333333</v>
      </c>
      <c r="U10" s="16">
        <f t="shared" si="8"/>
        <v>19.071183333333334</v>
      </c>
      <c r="V10" s="12">
        <f t="shared" si="9"/>
        <v>618860.34166666667</v>
      </c>
      <c r="W10" s="17">
        <f t="shared" si="10"/>
        <v>1125.1998166666667</v>
      </c>
      <c r="X10" s="13">
        <f t="shared" si="11"/>
        <v>5674635.6583333332</v>
      </c>
      <c r="Y10" s="18">
        <f t="shared" si="12"/>
        <v>10317.520183333332</v>
      </c>
      <c r="Z10" s="14">
        <v>1</v>
      </c>
      <c r="AA10" s="19">
        <v>0.01</v>
      </c>
    </row>
    <row r="11" spans="1:30" x14ac:dyDescent="0.3">
      <c r="A11">
        <v>8</v>
      </c>
      <c r="B11">
        <v>10010000</v>
      </c>
      <c r="C11" t="s">
        <v>22</v>
      </c>
      <c r="D11">
        <v>54310001</v>
      </c>
      <c r="E11" t="s">
        <v>22</v>
      </c>
      <c r="F11">
        <v>10310001</v>
      </c>
      <c r="G11" t="s">
        <v>22</v>
      </c>
      <c r="H11" t="s">
        <v>31</v>
      </c>
      <c r="I11" s="1">
        <v>1589450.5</v>
      </c>
      <c r="J11" s="1">
        <v>2889.91</v>
      </c>
      <c r="K11" s="6">
        <v>43707</v>
      </c>
      <c r="L11" s="7">
        <v>50</v>
      </c>
      <c r="M11" s="8">
        <f t="shared" si="1"/>
        <v>600</v>
      </c>
      <c r="N11" s="9">
        <f t="shared" si="0"/>
        <v>59</v>
      </c>
      <c r="O11" s="38">
        <f t="shared" si="2"/>
        <v>541</v>
      </c>
      <c r="P11" s="9">
        <f t="shared" si="3"/>
        <v>59</v>
      </c>
      <c r="Q11" s="33">
        <f t="shared" si="4"/>
        <v>541</v>
      </c>
      <c r="R11" s="35">
        <f t="shared" si="5"/>
        <v>2649.0825</v>
      </c>
      <c r="S11" s="36">
        <f t="shared" si="6"/>
        <v>4.8164999999999996</v>
      </c>
      <c r="T11" s="11">
        <f t="shared" si="7"/>
        <v>2649.0825</v>
      </c>
      <c r="U11" s="16">
        <f t="shared" si="8"/>
        <v>4.8164999999999996</v>
      </c>
      <c r="V11" s="12">
        <f t="shared" si="9"/>
        <v>156295.86749999999</v>
      </c>
      <c r="W11" s="17">
        <f t="shared" si="10"/>
        <v>284.17349999999999</v>
      </c>
      <c r="X11" s="13">
        <f t="shared" si="11"/>
        <v>1433154.6325000001</v>
      </c>
      <c r="Y11" s="18">
        <f t="shared" si="12"/>
        <v>2605.7365</v>
      </c>
      <c r="Z11" s="14">
        <v>1</v>
      </c>
      <c r="AA11" s="19">
        <v>0.01</v>
      </c>
    </row>
    <row r="12" spans="1:30" x14ac:dyDescent="0.3">
      <c r="I12" s="1"/>
      <c r="J12" s="1"/>
      <c r="K12" s="6"/>
      <c r="L12" s="7"/>
      <c r="M12" s="8"/>
      <c r="N12" s="9"/>
      <c r="O12" s="38"/>
      <c r="P12" s="9"/>
      <c r="Q12" s="33"/>
      <c r="R12" s="35"/>
      <c r="S12" s="42" t="s">
        <v>38</v>
      </c>
      <c r="T12" s="41">
        <f>SUM(T8:T11)</f>
        <v>111543.66916666667</v>
      </c>
      <c r="U12" s="42">
        <f t="shared" ref="U12" si="14">SUM(U8:U11)</f>
        <v>202.80661666666666</v>
      </c>
      <c r="V12" s="43">
        <f t="shared" ref="V12" si="15">SUM(V8:V11)</f>
        <v>49202817.720833339</v>
      </c>
      <c r="W12" s="42">
        <f t="shared" ref="W12" si="16">SUM(W8:W11)</f>
        <v>89459.658983333342</v>
      </c>
      <c r="X12" s="43">
        <f t="shared" ref="X12" si="17">SUM(X8:X11)</f>
        <v>17723387.779166665</v>
      </c>
      <c r="Y12" s="42">
        <f t="shared" ref="Y12" si="18">SUM(Y8:Y11)</f>
        <v>32224.351016666667</v>
      </c>
      <c r="Z12" s="14"/>
      <c r="AA12" s="19"/>
    </row>
    <row r="13" spans="1:30" x14ac:dyDescent="0.3">
      <c r="I13" s="1"/>
      <c r="J13" s="1"/>
      <c r="K13" s="6"/>
      <c r="L13" s="7"/>
      <c r="M13" s="8"/>
      <c r="N13" s="9"/>
      <c r="O13" s="38"/>
      <c r="P13" s="9"/>
      <c r="Q13" s="33"/>
      <c r="R13" s="35"/>
      <c r="S13" s="36"/>
      <c r="T13" s="11"/>
      <c r="U13" s="16"/>
      <c r="V13" s="12"/>
      <c r="W13" s="17"/>
      <c r="X13" s="13"/>
      <c r="Y13" s="18"/>
      <c r="Z13" s="14"/>
      <c r="AA13" s="19"/>
    </row>
    <row r="14" spans="1:30" x14ac:dyDescent="0.3">
      <c r="A14">
        <v>9</v>
      </c>
      <c r="B14">
        <v>10050002</v>
      </c>
      <c r="C14" t="s">
        <v>23</v>
      </c>
      <c r="D14">
        <v>54310005</v>
      </c>
      <c r="E14" t="s">
        <v>23</v>
      </c>
      <c r="F14">
        <v>10310008</v>
      </c>
      <c r="G14" t="s">
        <v>23</v>
      </c>
      <c r="H14" t="s">
        <v>34</v>
      </c>
      <c r="I14" s="1">
        <v>378306.5</v>
      </c>
      <c r="J14" s="1">
        <v>687.83</v>
      </c>
      <c r="K14" s="6">
        <v>41759</v>
      </c>
      <c r="L14" s="7">
        <v>10</v>
      </c>
      <c r="M14" s="8">
        <f t="shared" si="1"/>
        <v>120</v>
      </c>
      <c r="N14" s="9">
        <f t="shared" si="0"/>
        <v>123</v>
      </c>
      <c r="O14" s="38">
        <f t="shared" si="2"/>
        <v>-3</v>
      </c>
      <c r="P14" s="9">
        <f t="shared" si="3"/>
        <v>120</v>
      </c>
      <c r="Q14" s="33">
        <f t="shared" si="4"/>
        <v>0</v>
      </c>
      <c r="R14" s="35">
        <f t="shared" si="5"/>
        <v>3152.5458333333336</v>
      </c>
      <c r="S14" s="36">
        <f t="shared" si="6"/>
        <v>5.7318333333333342</v>
      </c>
      <c r="T14" s="11">
        <f t="shared" si="7"/>
        <v>0</v>
      </c>
      <c r="U14" s="16">
        <f t="shared" si="8"/>
        <v>0</v>
      </c>
      <c r="V14" s="12">
        <f t="shared" si="9"/>
        <v>378305.5</v>
      </c>
      <c r="W14" s="17">
        <f t="shared" si="10"/>
        <v>687.82000000000016</v>
      </c>
      <c r="X14" s="13">
        <f t="shared" si="11"/>
        <v>1</v>
      </c>
      <c r="Y14" s="18">
        <f t="shared" si="12"/>
        <v>9.9999999998772182E-3</v>
      </c>
      <c r="Z14" s="14">
        <v>1</v>
      </c>
      <c r="AA14" s="19">
        <v>0.01</v>
      </c>
    </row>
    <row r="15" spans="1:30" x14ac:dyDescent="0.3">
      <c r="A15">
        <v>10</v>
      </c>
      <c r="B15">
        <v>10050002</v>
      </c>
      <c r="C15" t="s">
        <v>23</v>
      </c>
      <c r="D15">
        <v>54310005</v>
      </c>
      <c r="E15" t="s">
        <v>23</v>
      </c>
      <c r="F15">
        <v>10310008</v>
      </c>
      <c r="G15" t="s">
        <v>23</v>
      </c>
      <c r="H15" t="s">
        <v>35</v>
      </c>
      <c r="I15" s="1">
        <v>500000</v>
      </c>
      <c r="J15" s="1">
        <f>+I15/530</f>
        <v>943.39622641509436</v>
      </c>
      <c r="K15" s="6">
        <v>44346</v>
      </c>
      <c r="L15" s="7">
        <v>10</v>
      </c>
      <c r="M15" s="8">
        <f t="shared" ref="M15:M17" si="19">+L15*12</f>
        <v>120</v>
      </c>
      <c r="N15" s="9">
        <f t="shared" ref="N15:N17" si="20">ROUND((DAYS360(K15,$AB$1,)/360*12),0)</f>
        <v>38</v>
      </c>
      <c r="O15" s="38">
        <f t="shared" ref="O15:O17" si="21">+M15-N15</f>
        <v>82</v>
      </c>
      <c r="P15" s="9">
        <f t="shared" ref="P15:P17" si="22">IF(O15&gt;0,N15,M15)</f>
        <v>38</v>
      </c>
      <c r="Q15" s="33">
        <f t="shared" ref="Q15:Q17" si="23">+M15-P15</f>
        <v>82</v>
      </c>
      <c r="R15" s="35">
        <f t="shared" ref="R15:R17" si="24">(I15-Z15)/L15/12</f>
        <v>4166.6583333333338</v>
      </c>
      <c r="S15" s="36">
        <f t="shared" ref="S15:S17" si="25">(J15-AA15)/L15/12</f>
        <v>7.8615518867924523</v>
      </c>
      <c r="T15" s="11">
        <f t="shared" ref="T15:T17" si="26">IF(O15&gt;-1,R15,0)</f>
        <v>4166.6583333333338</v>
      </c>
      <c r="U15" s="16">
        <f t="shared" ref="U15:U17" si="27">IF(O15&gt;-1,S15,0)</f>
        <v>7.8615518867924523</v>
      </c>
      <c r="V15" s="12">
        <f t="shared" ref="V15:V17" si="28">+R15*P15</f>
        <v>158333.01666666669</v>
      </c>
      <c r="W15" s="17">
        <f t="shared" ref="W15:W17" si="29">+S15*P15</f>
        <v>298.73897169811318</v>
      </c>
      <c r="X15" s="13">
        <f t="shared" ref="X15:X17" si="30">+I15-V15</f>
        <v>341666.98333333328</v>
      </c>
      <c r="Y15" s="18">
        <f t="shared" ref="Y15:Y17" si="31">+J15-W15</f>
        <v>644.65725471698124</v>
      </c>
      <c r="Z15" s="14">
        <v>1</v>
      </c>
      <c r="AA15" s="19">
        <v>0.01</v>
      </c>
    </row>
    <row r="16" spans="1:30" x14ac:dyDescent="0.3">
      <c r="A16">
        <v>11</v>
      </c>
      <c r="B16">
        <v>10050002</v>
      </c>
      <c r="C16" t="s">
        <v>23</v>
      </c>
      <c r="D16">
        <v>54310005</v>
      </c>
      <c r="E16" t="s">
        <v>23</v>
      </c>
      <c r="F16">
        <v>10310008</v>
      </c>
      <c r="G16" t="s">
        <v>23</v>
      </c>
      <c r="H16" t="s">
        <v>36</v>
      </c>
      <c r="I16" s="1">
        <v>400000</v>
      </c>
      <c r="J16" s="1">
        <f t="shared" ref="J16:J17" si="32">+I16/530</f>
        <v>754.71698113207549</v>
      </c>
      <c r="K16" s="6">
        <v>44681</v>
      </c>
      <c r="L16" s="7">
        <v>10</v>
      </c>
      <c r="M16" s="8">
        <f t="shared" si="19"/>
        <v>120</v>
      </c>
      <c r="N16" s="9">
        <f t="shared" si="20"/>
        <v>27</v>
      </c>
      <c r="O16" s="38">
        <f t="shared" si="21"/>
        <v>93</v>
      </c>
      <c r="P16" s="9">
        <f t="shared" si="22"/>
        <v>27</v>
      </c>
      <c r="Q16" s="33">
        <f t="shared" si="23"/>
        <v>93</v>
      </c>
      <c r="R16" s="35">
        <f t="shared" si="24"/>
        <v>3333.3250000000003</v>
      </c>
      <c r="S16" s="36">
        <f t="shared" si="25"/>
        <v>6.2892248427672959</v>
      </c>
      <c r="T16" s="11">
        <f t="shared" si="26"/>
        <v>3333.3250000000003</v>
      </c>
      <c r="U16" s="16">
        <f t="shared" si="27"/>
        <v>6.2892248427672959</v>
      </c>
      <c r="V16" s="12">
        <f t="shared" si="28"/>
        <v>89999.775000000009</v>
      </c>
      <c r="W16" s="17">
        <f t="shared" si="29"/>
        <v>169.809070754717</v>
      </c>
      <c r="X16" s="13">
        <f t="shared" si="30"/>
        <v>310000.22499999998</v>
      </c>
      <c r="Y16" s="18">
        <f t="shared" si="31"/>
        <v>584.90791037735846</v>
      </c>
      <c r="Z16" s="14">
        <v>1</v>
      </c>
      <c r="AA16" s="19">
        <v>0.01</v>
      </c>
    </row>
    <row r="17" spans="1:27" x14ac:dyDescent="0.3">
      <c r="A17">
        <v>12</v>
      </c>
      <c r="B17">
        <v>10050002</v>
      </c>
      <c r="C17" t="s">
        <v>23</v>
      </c>
      <c r="D17">
        <v>54310005</v>
      </c>
      <c r="E17" t="s">
        <v>23</v>
      </c>
      <c r="F17">
        <v>10310008</v>
      </c>
      <c r="G17" t="s">
        <v>23</v>
      </c>
      <c r="H17" t="s">
        <v>37</v>
      </c>
      <c r="I17" s="1">
        <v>300000</v>
      </c>
      <c r="J17" s="1">
        <f t="shared" si="32"/>
        <v>566.03773584905662</v>
      </c>
      <c r="K17" s="6">
        <v>45046</v>
      </c>
      <c r="L17" s="7">
        <v>10</v>
      </c>
      <c r="M17" s="8">
        <f t="shared" si="19"/>
        <v>120</v>
      </c>
      <c r="N17" s="9">
        <f t="shared" si="20"/>
        <v>15</v>
      </c>
      <c r="O17" s="38">
        <f t="shared" si="21"/>
        <v>105</v>
      </c>
      <c r="P17" s="9">
        <f t="shared" si="22"/>
        <v>15</v>
      </c>
      <c r="Q17" s="33">
        <f t="shared" si="23"/>
        <v>105</v>
      </c>
      <c r="R17" s="35">
        <f t="shared" si="24"/>
        <v>2499.9916666666668</v>
      </c>
      <c r="S17" s="36">
        <f t="shared" si="25"/>
        <v>4.7168977987421385</v>
      </c>
      <c r="T17" s="11">
        <f t="shared" si="26"/>
        <v>2499.9916666666668</v>
      </c>
      <c r="U17" s="16">
        <f t="shared" si="27"/>
        <v>4.7168977987421385</v>
      </c>
      <c r="V17" s="12">
        <f t="shared" si="28"/>
        <v>37499.875</v>
      </c>
      <c r="W17" s="17">
        <f t="shared" si="29"/>
        <v>70.753466981132078</v>
      </c>
      <c r="X17" s="13">
        <f t="shared" si="30"/>
        <v>262500.125</v>
      </c>
      <c r="Y17" s="18">
        <f t="shared" si="31"/>
        <v>495.28426886792454</v>
      </c>
      <c r="Z17" s="14">
        <v>1</v>
      </c>
      <c r="AA17" s="19">
        <v>0.01</v>
      </c>
    </row>
    <row r="18" spans="1:27" x14ac:dyDescent="0.3">
      <c r="S18" s="42" t="s">
        <v>38</v>
      </c>
      <c r="T18" s="41">
        <f>SUM(T14:T17)</f>
        <v>9999.9750000000004</v>
      </c>
      <c r="U18" s="42">
        <f t="shared" ref="U18" si="33">SUM(U14:U17)</f>
        <v>18.867674528301887</v>
      </c>
      <c r="V18" s="43">
        <f t="shared" ref="V18" si="34">SUM(V14:V17)</f>
        <v>664138.16666666674</v>
      </c>
      <c r="W18" s="42">
        <f t="shared" ref="W18" si="35">SUM(W14:W17)</f>
        <v>1227.1215094339623</v>
      </c>
      <c r="X18" s="43">
        <f t="shared" ref="X18" si="36">SUM(X14:X17)</f>
        <v>914168.33333333326</v>
      </c>
      <c r="Y18" s="42">
        <f t="shared" ref="Y18" si="37">SUM(Y14:Y17)</f>
        <v>1724.8594339622641</v>
      </c>
    </row>
    <row r="19" spans="1:27" x14ac:dyDescent="0.3">
      <c r="J19" s="40"/>
      <c r="K19" s="1"/>
      <c r="M19" s="40"/>
    </row>
    <row r="20" spans="1:27" ht="15" thickBot="1" x14ac:dyDescent="0.35">
      <c r="J20" s="40"/>
      <c r="K20" s="40"/>
      <c r="U20" s="15" t="s">
        <v>41</v>
      </c>
      <c r="V20" s="10" t="s">
        <v>42</v>
      </c>
    </row>
    <row r="21" spans="1:27" x14ac:dyDescent="0.3">
      <c r="J21" s="40"/>
      <c r="K21" s="40"/>
      <c r="R21" s="44" t="s">
        <v>39</v>
      </c>
      <c r="S21" s="45">
        <v>54310003</v>
      </c>
      <c r="T21" s="45" t="s">
        <v>21</v>
      </c>
      <c r="U21" s="46">
        <f>+U6</f>
        <v>159.33316666666667</v>
      </c>
      <c r="V21" s="47"/>
    </row>
    <row r="22" spans="1:27" x14ac:dyDescent="0.3">
      <c r="J22" s="40"/>
      <c r="K22" s="40"/>
      <c r="R22" s="48"/>
      <c r="S22" s="49">
        <v>54310001</v>
      </c>
      <c r="T22" s="49" t="s">
        <v>22</v>
      </c>
      <c r="U22" s="50">
        <f>+U12</f>
        <v>202.80661666666666</v>
      </c>
      <c r="V22" s="51"/>
    </row>
    <row r="23" spans="1:27" x14ac:dyDescent="0.3">
      <c r="J23" s="40"/>
      <c r="K23" s="40"/>
      <c r="R23" s="48"/>
      <c r="S23" s="49">
        <v>54310005</v>
      </c>
      <c r="T23" s="49" t="s">
        <v>23</v>
      </c>
      <c r="U23" s="50">
        <f>+U18</f>
        <v>18.867674528301887</v>
      </c>
      <c r="V23" s="51"/>
    </row>
    <row r="24" spans="1:27" x14ac:dyDescent="0.3">
      <c r="J24" s="40"/>
      <c r="K24" s="40"/>
      <c r="R24" s="52" t="s">
        <v>40</v>
      </c>
      <c r="S24" s="49">
        <v>10310007</v>
      </c>
      <c r="T24" s="49" t="s">
        <v>21</v>
      </c>
      <c r="U24" s="50"/>
      <c r="V24" s="53">
        <f>-U21</f>
        <v>-159.33316666666667</v>
      </c>
    </row>
    <row r="25" spans="1:27" x14ac:dyDescent="0.3">
      <c r="R25" s="48"/>
      <c r="S25" s="49">
        <v>10310001</v>
      </c>
      <c r="T25" s="49" t="s">
        <v>22</v>
      </c>
      <c r="U25" s="50"/>
      <c r="V25" s="53">
        <f>-U22</f>
        <v>-202.80661666666666</v>
      </c>
    </row>
    <row r="26" spans="1:27" x14ac:dyDescent="0.3">
      <c r="R26" s="48"/>
      <c r="S26" s="49">
        <v>10310008</v>
      </c>
      <c r="T26" s="49" t="s">
        <v>23</v>
      </c>
      <c r="U26" s="50"/>
      <c r="V26" s="53">
        <f>-U18</f>
        <v>-18.867674528301887</v>
      </c>
    </row>
    <row r="27" spans="1:27" ht="15" thickBot="1" x14ac:dyDescent="0.35">
      <c r="R27" s="54"/>
      <c r="S27" s="55"/>
      <c r="T27" s="56"/>
      <c r="U27" s="55"/>
      <c r="V27" s="57"/>
    </row>
    <row r="28" spans="1:27" x14ac:dyDescent="0.3">
      <c r="T28" s="10" t="s">
        <v>43</v>
      </c>
      <c r="U28" s="15">
        <f>SUM(U21:U27)</f>
        <v>381.0074578616352</v>
      </c>
      <c r="V28" s="10">
        <f>SUM(V24:V27)</f>
        <v>-381.0074578616352</v>
      </c>
    </row>
  </sheetData>
  <mergeCells count="2">
    <mergeCell ref="R21:R23"/>
    <mergeCell ref="R24:R26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Montenegro</dc:creator>
  <cp:lastModifiedBy>Montenegro, Jonathan</cp:lastModifiedBy>
  <dcterms:created xsi:type="dcterms:W3CDTF">2015-06-05T18:19:34Z</dcterms:created>
  <dcterms:modified xsi:type="dcterms:W3CDTF">2024-07-19T22:48:53Z</dcterms:modified>
</cp:coreProperties>
</file>